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bookViews>
    <workbookView xWindow="4245" yWindow="645" windowWidth="28035" windowHeight="15795"/>
  </bookViews>
  <sheets>
    <sheet name="9jGkdo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0" i="2" l="1"/>
  <c r="F9" i="2"/>
</calcChain>
</file>

<file path=xl/sharedStrings.xml><?xml version="1.0" encoding="utf-8"?>
<sst xmlns="http://schemas.openxmlformats.org/spreadsheetml/2006/main" count="233" uniqueCount="209">
  <si>
    <r>
      <rPr>
        <sz val="9.75"/>
        <color rgb="FF000000"/>
        <rFont val="Calibri"/>
        <family val="2"/>
      </rPr>
      <t>短债：任意持有 3 个月跑赢货币指数 + 50BP 概率 &gt; 70% 或同类前 50%</t>
    </r>
    <r>
      <rPr>
        <sz val="9.75"/>
        <color rgb="FFF54A45"/>
        <rFont val="Calibri"/>
        <family val="2"/>
      </rPr>
      <t xml:space="preserve">（收益前50%or胜率前50%？）
</t>
    </r>
    <r>
      <rPr>
        <sz val="9.75"/>
        <color rgb="FF000000"/>
        <rFont val="Calibri"/>
        <family val="2"/>
      </rPr>
      <t>中短债：任意持有 3 个月跑赢货币指数 + 80BP 概率 &gt; 70% 或同类前 50%
中长债：任意持有 6 个月跑赢货币指数 + 120BP 概率 &gt; 70% 或同类前 50%
极低波固收 +：近 2 年滚持 1 年战胜货币基金 + 80BP&gt;80%
超额宝月月：持有 6 个月战胜货基 + 20BP 概率 = 100%
超额宝季季：持有 1 年战胜货基 + 30BP 概率 = 100%
超额宝年年：持有 1 年战胜货基 + 80BP 概率 &gt; 80%
增益宝低波：持有 12 个月战胜货基 + 150BP 概率≥70%
增益宝中波：持有 1 年战胜货基 + 200BP 概率≥60%
增益宝高波：持有 1 年战胜货基 + 250BP 概率≥50%</t>
    </r>
  </si>
  <si>
    <t>一级维度</t>
  </si>
  <si>
    <t>二级维度</t>
  </si>
  <si>
    <t>监控指标</t>
  </si>
  <si>
    <t>指标定义</t>
  </si>
  <si>
    <t>计算逻辑</t>
  </si>
  <si>
    <t>阈值规则</t>
  </si>
  <si>
    <t>统计口径</t>
  </si>
  <si>
    <t>适用赛道</t>
  </si>
  <si>
    <t>特殊说明</t>
  </si>
  <si>
    <t>基础门槛</t>
  </si>
  <si>
    <t>产品基础资质</t>
  </si>
  <si>
    <t>成立时长</t>
  </si>
  <si>
    <t>产品从成立日到当前监控日的存续时长</t>
  </si>
  <si>
    <t>当前日期 - 产品成立日期</t>
  </si>
  <si>
    <t>短债 / 中短债/ 极低波固收+/超额宝：≥2 年 / 5 个月
中长债 / 低/中/高波固收 +/ 增益宝：≥3 年 / 5 个月
注：若为FOF需满足≥3 年 / 5 个月</t>
  </si>
  <si>
    <t>自然日</t>
  </si>
  <si>
    <t>全赛道</t>
  </si>
  <si>
    <t>成立满5个月但不满足2/3年时需提供同策略产品佐证</t>
  </si>
  <si>
    <t>基金合计规模</t>
  </si>
  <si>
    <t>基金最新披露的合计资产规模（含 A/C 等所有份额）</t>
  </si>
  <si>
    <t>取内部口径</t>
  </si>
  <si>
    <t>≥2 亿元（FOF 赛道除外，FOF≥0.5 亿元）</t>
  </si>
  <si>
    <t>若规模低于阈值，直接不可提报</t>
  </si>
  <si>
    <t>同策略产品佐证</t>
  </si>
  <si>
    <t>提报产品成立时长不足时，需提供同基金经理管理的同策略产品</t>
  </si>
  <si>
    <t>1. 同策略产品与提报产品为同一基金经理管理
2. 同策略产品满足对应赛道年限要求</t>
  </si>
  <si>
    <t>短债 / 中短债：同策略需基金经理管理满 2 年
其他赛道：同策略需基金经理管理满 3 年</t>
  </si>
  <si>
    <t>1.同策略产品成立时长
2.基金经理在管时长</t>
  </si>
  <si>
    <t>仅展示同策略产品，人工筛选是否提报</t>
  </si>
  <si>
    <t>基金经理资质</t>
  </si>
  <si>
    <t>投资年限</t>
  </si>
  <si>
    <t>基金经理从事投资管理工作的累计年限</t>
  </si>
  <si>
    <t>从首次担任投资经理 / 基金经理的日期到当前日期的时长</t>
  </si>
  <si>
    <t>纯债：≥2 年（短债 / 中短债）/≥3 年（中长债）
超额宝：≥2 年（月月）/≥3 年（季季/年年）
固收 +/ 增益宝：≥3 年</t>
  </si>
  <si>
    <t>包含公募 / 专户 / 私募的投资年限</t>
  </si>
  <si>
    <t>投资年限不足直接否决</t>
  </si>
  <si>
    <t>管理当前产品时长</t>
  </si>
  <si>
    <t>基金经理管理当前提报产品的连续时长</t>
  </si>
  <si>
    <t>当前日期 - 基金经理开始管理该产品的日期</t>
  </si>
  <si>
    <t>≥5 个月</t>
  </si>
  <si>
    <t>连续管理时长，不含交接期</t>
  </si>
  <si>
    <t>管理不足 5 个月直接否决</t>
  </si>
  <si>
    <t>同策略产品管理年限</t>
  </si>
  <si>
    <t>若提报产品成立不足年限，同策略产品需由该基金经理管理的时长</t>
  </si>
  <si>
    <t>同策略产品成立日到当前日期，且基金经理全程管理</t>
  </si>
  <si>
    <t>短债 / 中短债：≥2 年
其他赛道：≥3 年</t>
  </si>
  <si>
    <t>同策略产品需由同一基金经理全程管理</t>
  </si>
  <si>
    <t>同策略产品管理年限不足，佐证无效</t>
  </si>
  <si>
    <t>公募经验（超额宝专属）</t>
  </si>
  <si>
    <t>基金经理公募基金投资管理经验年限</t>
  </si>
  <si>
    <t>从首次担任公募基金经理的日期到当前日期的时长</t>
  </si>
  <si>
    <t>月月：≥2 年
季季 / 年年：≥3 年</t>
  </si>
  <si>
    <t>仅统计公募基金管理经验</t>
  </si>
  <si>
    <t>超额宝</t>
  </si>
  <si>
    <t>不满足则不可提报</t>
  </si>
  <si>
    <t>业绩表现</t>
  </si>
  <si>
    <t>绝对收益</t>
  </si>
  <si>
    <t>月度正收益概率</t>
  </si>
  <si>
    <t>近 12 个月 / 成立以来，月度收益率 &gt; 0 的月份占比</t>
  </si>
  <si>
    <t>正收益月份数 ÷ 总月份数 × 100%</t>
  </si>
  <si>
    <t>近 12 个月 / 成立以来（不满 12 个月取成立以来）</t>
  </si>
  <si>
    <t>超额宝 - 月月</t>
  </si>
  <si>
    <t>任意月份收益≤0 即不达标</t>
  </si>
  <si>
    <t>季度正收益概率</t>
  </si>
  <si>
    <t>近 8 个季度 / 成立以来，季度收益率 &gt; 0 的季度占比</t>
  </si>
  <si>
    <t>正收益季度数 ÷ 总季度数 × 100%</t>
  </si>
  <si>
    <t>近 8 个季度 / 成立以来（不满 8 个季度取成立以来）</t>
  </si>
  <si>
    <t>超额宝 - 季季</t>
  </si>
  <si>
    <t>任意季度收益≤0 即不达标</t>
  </si>
  <si>
    <t>年度正收益</t>
  </si>
  <si>
    <t>完整会计年度收益率 &gt; 0</t>
  </si>
  <si>
    <t>单个完整年度收益率 &gt; 0</t>
  </si>
  <si>
    <t>年年 - 纯债：近 3 年每年正收益
年年 - 极低波：近 2 年每年正收益
示例：数据侧返回盈利年份如2023、2024</t>
  </si>
  <si>
    <t>完整会计年度（1 月 1 日 - 12 月 31 日）</t>
  </si>
  <si>
    <t>超额宝 - 年年</t>
  </si>
  <si>
    <t>任意年度收益≤0 即不达标</t>
  </si>
  <si>
    <t>相对收益</t>
  </si>
  <si>
    <t>近 1 年收益</t>
  </si>
  <si>
    <t>近 1 年绝对收益率</t>
  </si>
  <si>
    <t>(期末净值 - 期初净值) ÷ 期初净值</t>
  </si>
  <si>
    <t>低波：&gt; 货币基金 + 2%
中波：&gt; 货币基金 + 2.5%
高波：&gt; 货币基金 + 3%</t>
  </si>
  <si>
    <t>近 1 年（滚动 12 个月）</t>
  </si>
  <si>
    <t>增益宝</t>
  </si>
  <si>
    <t>需同时跑赢货币基金 + 对应 BP</t>
  </si>
  <si>
    <t>年化收益率</t>
  </si>
  <si>
    <t>区间年化收益率</t>
  </si>
  <si>
    <t>(区间收益)^(365/区间天数) - 1</t>
  </si>
  <si>
    <t>极低波固收 +：≥货币基金 + 80BP
低波固收 +：≥货币基金 + 200BP
中波固收 +：≥货币基金 + 250BP
高波固收 +：≥货币基金 + 300BP</t>
  </si>
  <si>
    <t>近 X 年 / 成立以来（不满 3 年取成立以来）</t>
  </si>
  <si>
    <t>求赚固收</t>
  </si>
  <si>
    <t>年化收益需跑赢货币基金 + 对应 BP</t>
  </si>
  <si>
    <t>业绩基准达标</t>
  </si>
  <si>
    <t>区间收益率≥对应基准指数收益率</t>
  </si>
  <si>
    <t>产品区间收益率 ≥ 基准区间收益率</t>
  </si>
  <si>
    <t>短债：≥天相短债基金指数
中短债：≥天相中短债基金指数
中长债：≥天相中长债基金指数
低波固收 +：≥95% cba00121+5%000906.SH
中波固收 +：≥90% cba00121+10%000906.SH
高波固收 +：≥80% cba00121+20%000906.SH</t>
  </si>
  <si>
    <t>近 2 年 / 近 3 年 / 成立以来</t>
  </si>
  <si>
    <t>求赚纯债、求赚固收、定开场景</t>
  </si>
  <si>
    <t>不达标则不可提报</t>
  </si>
  <si>
    <t>滚动超额收益胜率</t>
  </si>
  <si>
    <t>统计区间内，所有滚动持有期跑赢基准 + 目标 BP 的概率</t>
  </si>
  <si>
    <t>跑赢基准+目标BP的周期数 ÷ 总周期数 × 100%</t>
  </si>
  <si>
    <t>近 2 年 / 近 3 年 / 成立以来，滚动持有期</t>
  </si>
  <si>
    <t>需满足概率或同类排名要求</t>
  </si>
  <si>
    <t>持有体验</t>
  </si>
  <si>
    <t>持有期正胜率</t>
  </si>
  <si>
    <t>统计区间内，所有滚动持有期收益率 &gt; 0 的概率</t>
  </si>
  <si>
    <t>正收益周期数 ÷ 总周期数 × 100%</t>
  </si>
  <si>
    <t>短债：持有 1 个月正胜率≥80% 或同类前 50%
中短债：持有 3 个月正胜率≥90% 或同类前 50%
中长债：持有 12 个月正胜率 = 100% 或同类前 50%
极低波固收 +：近 2 年滚持 3M 正收益概率 85%（3M-5M）/ 滚持 180 天正收益概率 100%（6M+）
低波固收 +：任意持有 1 年正收益概率 = 100%
中波固收 +：任意持有 1 年正收益概率≥80%
超额宝月月：持有期正收益概率≥95%
超额宝季季 / 年年：持有期正收益概率 = 100%
超额宝年年 - 极低波：滚持 180 天正收益概率 100%
增益宝低波：持有 1 年正收益概率 = 100%
增益宝中波：持有 1 年正收益概率≥95%
增益宝高波：持有 1 年正收益概率≥85%</t>
  </si>
  <si>
    <t>正胜率 = 任意时间买入持有对应期限的赚钱概率</t>
  </si>
  <si>
    <t>风险控制</t>
  </si>
  <si>
    <t>回撤控制</t>
  </si>
  <si>
    <t>区间最大回撤</t>
  </si>
  <si>
    <t>统计区间内，产品净值从前期高点回落至最低点的最大跌幅</t>
  </si>
  <si>
    <t>Max(1 - 当日净值/前期最高净值)</t>
  </si>
  <si>
    <t>短债：≤0.5%
中短债：≤1%
中长债：≤1.5%
极低波固收 +：3M-5M≤1%，6M+≤1.5%
低波固收 +：≤2%
中波固收 +：≤3%
高波固收 +：≤5%
超额宝月月：≤0.3%
超额宝季季：≤1%
超额宝年年：≤1.5%
定开场景：在原回撤基础上放松 25%（短债≤0.63%，中短债≤1.25%，中长债≤1.875%，低波固收 +≤2.5%）</t>
  </si>
  <si>
    <t>定开场景满足封闭期正胜率要求时，回撤阈值放松 25%</t>
  </si>
  <si>
    <t>最大连续回撤天数</t>
  </si>
  <si>
    <t>统计区间内，产品日收益率连续为负的最长天数</t>
  </si>
  <si>
    <t>统计区间内，连续日收益率 &lt; 0 的最大天数</t>
  </si>
  <si>
    <t>短债：&lt;5 天</t>
  </si>
  <si>
    <t>近 1 年 / 成立以来</t>
  </si>
  <si>
    <t>求赚纯债 - 短债</t>
  </si>
  <si>
    <t>连续回撤天数≥5 天即不达标</t>
  </si>
  <si>
    <t>最大日回撤</t>
  </si>
  <si>
    <t>统计区间内，单日净值的最大跌幅</t>
  </si>
  <si>
    <t>Max(1 - 当日净值/前一日净值)</t>
  </si>
  <si>
    <t>短债：&lt;0.15%
中短债：&lt;0.20%
中长债：&lt;0.50%
超额宝月月：≤0.05%
超额宝季季：≤0.20%
超额宝年年：≤0.50%</t>
  </si>
  <si>
    <t>近 1 年 / 近 2 年 / 成立以来</t>
  </si>
  <si>
    <t>求赚纯债、超额宝</t>
  </si>
  <si>
    <t>定开场景满足封闭期正胜率要求时，豁免该指标</t>
  </si>
  <si>
    <t>持仓合规</t>
  </si>
  <si>
    <t>平均含权仓位</t>
  </si>
  <si>
    <t>近 1 年 / 过去 4 个季报的平均含权仓位</t>
  </si>
  <si>
    <t>(股票持仓市值 + 可转债持仓市值×0.5) ÷ 基金总资产 × 100%</t>
  </si>
  <si>
    <t>极低波固收 +：(0,5%]
低波固收 +：(0,8%]
中波固收 +：(8,15%]
高波固收 +：(15,30%]
增益宝低波：(0,8%]
增益宝中波：(8,15%]
增益宝高波：(15,30%]
定开低波固收 +：(0,8%]
FOF</t>
  </si>
  <si>
    <t>近 1 年 / 过去 4 个季报</t>
  </si>
  <si>
    <t>求赚固收、增益宝、定开场景</t>
  </si>
  <si>
    <t>可转债按 0.5 系数折算</t>
  </si>
  <si>
    <t>单季报含权仓位</t>
  </si>
  <si>
    <t>每个季报披露的含权仓位</t>
  </si>
  <si>
    <t>季报披露的含权仓位（可转债按 0.5 折算）</t>
  </si>
  <si>
    <t>极低波固收 +：≤5%
低波固收 +：≤10%
中波固收 +：≤20%
高波固收 +：≤30%
增益宝低波：≤10%
增益宝中波：≤20%
增益宝高波：≤30%</t>
  </si>
  <si>
    <t>每个季报</t>
  </si>
  <si>
    <t>求赚固收、增益宝</t>
  </si>
  <si>
    <t>2025 年中开始执行
2026年每个季报</t>
  </si>
  <si>
    <t>久期范围</t>
  </si>
  <si>
    <t>产品披露的久期</t>
  </si>
  <si>
    <t>定期报告披露的久期</t>
  </si>
  <si>
    <t>短债：≤0.8 年
中短债：&gt;0.8 年且≤1.5 年
中长债：&gt;1.5 年且≤3 年
超额宝月月：≤0.8 年
超额宝季季：&gt;0.8 年且≤1.5 年
超额宝年年-纯债：&gt;1.5 年且≤3 年
超额宝年年 - 极低波：≤3 年</t>
  </si>
  <si>
    <t>2025 年半年报后最新披露值</t>
  </si>
  <si>
    <t>定开场景久期要求与普通求赚一致</t>
  </si>
  <si>
    <t>产品结构</t>
  </si>
  <si>
    <t>持有期类型</t>
  </si>
  <si>
    <t>产品合同约定的持有期 / 开放规则</t>
  </si>
  <si>
    <t>产品合同约定</t>
  </si>
  <si>
    <t>短债：全开 / 1 个月
中短债：全开 / 2-4 个月
中长债：全开 / 6 个月及以上
极低波固收 +：3 个月及以上
低 / 中 / 高波固收 +：全开 / 6 个月及以上
超额宝月月：1 个月
超额宝季季：2-4 个月
超额宝年年：6-12 个月
增益宝低波固收+：3M 及以上
增益宝中 / 高波固收+：6M 及以上</t>
  </si>
  <si>
    <t>持有期类型不匹配则不可提报</t>
  </si>
  <si>
    <t>封闭期类型</t>
  </si>
  <si>
    <t>定开产品的封闭期长度</t>
  </si>
  <si>
    <t>产品合同约定的封闭期</t>
  </si>
  <si>
    <t>短债：1 个月
中短债：2-4 个月
中长债：6 个月及以上
低波固收 +：6 个月及以上</t>
  </si>
  <si>
    <t>定开场景</t>
  </si>
  <si>
    <t>封闭期类型不匹配则不可提报</t>
  </si>
  <si>
    <t>场景专属</t>
  </si>
  <si>
    <t>封闭期正胜率</t>
  </si>
  <si>
    <t>近 2 年 / 近 3 年所有封闭期收益为正的概率</t>
  </si>
  <si>
    <t>正收益封闭期数 ÷ 总封闭期数 × 100%</t>
  </si>
  <si>
    <t>短债 / 中短债：近 2 年所有封闭期正胜率 &gt; 85%
中长债 / 低波固收 +：近 3 年所有封闭期收益均为正</t>
  </si>
  <si>
    <t>近 2 年 / 近 3 年所有封闭期</t>
  </si>
  <si>
    <t>满足该条件可触发回撤豁免</t>
  </si>
  <si>
    <t>回撤豁免规则</t>
  </si>
  <si>
    <t>满足封闭期正胜率要求时，豁免部分风控指标</t>
  </si>
  <si>
    <t>系统自动判断：1. 回撤阈值在原基础上 ×1.252. 豁免滚动正胜率约束3. 豁免最大日回撤约束</t>
  </si>
  <si>
    <t>满足封闭期正胜率要求时生效</t>
  </si>
  <si>
    <t>近 2 年 / 近 3 年封闭期</t>
  </si>
  <si>
    <t>仅豁免滚动正胜率和最大日回撤，其他指标仍需满足</t>
  </si>
  <si>
    <t>FOF</t>
  </si>
  <si>
    <t>单一风险资产</t>
  </si>
  <si>
    <t>风险资产仓位含A股、港股、海外股、商品、可转债，转债系数与普通固收+拉齐，港股+A股属于单一资产，海外股不区分国别属于单一资产。</t>
  </si>
  <si>
    <t>过去4个季报，每期的单一风险资产均需≤x%</t>
  </si>
  <si>
    <t>低波固收+：单一风险资产仓位≤8%
中波固收+：单一风险资产仓位≤15%
高波固收+：单一风险资产仓位≤25%</t>
  </si>
  <si>
    <t>FOF用机构提报数据</t>
  </si>
  <si>
    <t>满足含权仓位同时需满足单一风险资产仓位</t>
  </si>
  <si>
    <t>区间定义</t>
  </si>
  <si>
    <t>统计区间</t>
  </si>
  <si>
    <t>指标计算的时间区间</t>
  </si>
  <si>
    <t>平台统一定义</t>
  </si>
  <si>
    <t>短债 / 中短债：近 2 年 / 成立以来
中长债：近 3 年 / 成立以来
其他赛道：近 X 年 / 成立以来（不满 x年取成立以来）</t>
  </si>
  <si>
    <t>自然日区间</t>
  </si>
  <si>
    <t>成立不满年限时，取成立以来数据</t>
  </si>
  <si>
    <t>可转债折算</t>
  </si>
  <si>
    <t>可转债持仓折算为含权仓位的系数</t>
  </si>
  <si>
    <t>可转债持仓市值 × 0.5</t>
  </si>
  <si>
    <t>可转债按 0.5 系数折算为含权仓位</t>
  </si>
  <si>
    <t>所有固收 + 赛道</t>
  </si>
  <si>
    <t>固收 + 全赛道</t>
  </si>
  <si>
    <t>后续按平台规则定期更新折算系数</t>
  </si>
  <si>
    <t>投资年限口径</t>
  </si>
  <si>
    <t>基金经理投资年限的统计范围</t>
  </si>
  <si>
    <t>包含公募基金、专户、私募的投资年限</t>
  </si>
  <si>
    <t>投资年限 = 公募年限 + 专户年限 + 私募年限</t>
  </si>
  <si>
    <t>不包含销售、研究等非投资管理岗位年限</t>
  </si>
  <si>
    <t>同类排名口径</t>
  </si>
  <si>
    <t>产品跑赢基准的概率在同类基金中的排名/产品持有任意x个月在同类基金中的排名</t>
  </si>
  <si>
    <t>滚动计算</t>
  </si>
  <si>
    <t>同类前 50%</t>
  </si>
  <si>
    <t>求赚纯债</t>
  </si>
  <si>
    <t>可替代超额收益胜率 / 正胜率的达标条件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</si>
</sst>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1F2329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9.75"/>
      <color rgb="FF000000"/>
      <name val="Calibri"/>
      <family val="2"/>
    </font>
    <font>
      <sz val="9.75"/>
      <color rgb="FFF54A45"/>
      <name val="Calibri"/>
      <family val="2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F3FD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D9F3FD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D9F3FD"/>
      </patternFill>
    </fill>
  </fills>
  <borders count="1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21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31"/>
  <sheetViews>
    <sheetView tabSelected="1" workbookViewId="0"/>
  </sheetViews>
  <sheetFormatPr defaultColWidth="14" defaultRowHeight="12.75" x14ac:dyDescent="0.2"/>
  <cols>
    <col min="1" max="1" width="10" customWidth="1"/>
    <col min="2" max="2" width="12" customWidth="1"/>
    <col min="4" max="4" width="25" customWidth="1"/>
    <col min="5" max="5" width="26" customWidth="1"/>
    <col min="6" max="6" width="55" customWidth="1"/>
    <col min="7" max="7" width="20" customWidth="1"/>
    <col min="9" max="9" width="22" customWidth="1"/>
  </cols>
  <sheetData>
    <row r="1" spans="1:9" x14ac:dyDescent="0.2">
      <c r="A1" s="12" t="s">
        <v>1</v>
      </c>
      <c r="B1" s="12" t="s">
        <v>2</v>
      </c>
      <c r="C1" s="11" t="s">
        <v>3</v>
      </c>
      <c r="D1" s="12" t="s">
        <v>4</v>
      </c>
      <c r="E1" s="12" t="s">
        <v>5</v>
      </c>
      <c r="F1" s="11" t="s">
        <v>6</v>
      </c>
      <c r="G1" s="12" t="s">
        <v>7</v>
      </c>
      <c r="H1" s="12" t="s">
        <v>8</v>
      </c>
      <c r="I1" s="12" t="s">
        <v>9</v>
      </c>
    </row>
    <row r="2" spans="1:9" ht="71.099999999999994" customHeight="1" x14ac:dyDescent="0.2">
      <c r="A2" s="13" t="s">
        <v>10</v>
      </c>
      <c r="B2" s="14" t="s">
        <v>11</v>
      </c>
      <c r="C2" s="3" t="s">
        <v>12</v>
      </c>
      <c r="D2" s="2" t="s">
        <v>13</v>
      </c>
      <c r="E2" s="2" t="s">
        <v>14</v>
      </c>
      <c r="F2" s="3" t="s">
        <v>15</v>
      </c>
      <c r="G2" s="2" t="s">
        <v>16</v>
      </c>
      <c r="H2" s="1" t="s">
        <v>17</v>
      </c>
      <c r="I2" s="2" t="s">
        <v>18</v>
      </c>
    </row>
    <row r="3" spans="1:9" ht="25.5" x14ac:dyDescent="0.2">
      <c r="A3" s="13"/>
      <c r="B3" s="14"/>
      <c r="C3" s="3" t="s">
        <v>19</v>
      </c>
      <c r="D3" s="2" t="s">
        <v>20</v>
      </c>
      <c r="E3" s="2" t="s">
        <v>21</v>
      </c>
      <c r="F3" s="3" t="s">
        <v>22</v>
      </c>
      <c r="G3" s="2" t="s">
        <v>21</v>
      </c>
      <c r="H3" s="1" t="s">
        <v>17</v>
      </c>
      <c r="I3" s="2" t="s">
        <v>23</v>
      </c>
    </row>
    <row r="4" spans="1:9" ht="51" x14ac:dyDescent="0.2">
      <c r="A4" s="18"/>
      <c r="B4" s="17"/>
      <c r="C4" s="3" t="s">
        <v>24</v>
      </c>
      <c r="D4" s="4" t="s">
        <v>25</v>
      </c>
      <c r="E4" s="4" t="s">
        <v>26</v>
      </c>
      <c r="F4" s="3" t="s">
        <v>27</v>
      </c>
      <c r="G4" s="4" t="s">
        <v>28</v>
      </c>
      <c r="H4" s="5" t="s">
        <v>17</v>
      </c>
      <c r="I4" s="4" t="s">
        <v>29</v>
      </c>
    </row>
    <row r="5" spans="1:9" ht="53.1" customHeight="1" x14ac:dyDescent="0.2">
      <c r="A5" s="13"/>
      <c r="B5" s="14" t="s">
        <v>30</v>
      </c>
      <c r="C5" s="3" t="s">
        <v>31</v>
      </c>
      <c r="D5" s="2" t="s">
        <v>32</v>
      </c>
      <c r="E5" s="2" t="s">
        <v>33</v>
      </c>
      <c r="F5" s="3" t="s">
        <v>34</v>
      </c>
      <c r="G5" s="2" t="s">
        <v>35</v>
      </c>
      <c r="H5" s="1" t="s">
        <v>17</v>
      </c>
      <c r="I5" s="2" t="s">
        <v>36</v>
      </c>
    </row>
    <row r="6" spans="1:9" ht="25.5" x14ac:dyDescent="0.2">
      <c r="A6" s="13"/>
      <c r="B6" s="14"/>
      <c r="C6" s="3" t="s">
        <v>37</v>
      </c>
      <c r="D6" s="2" t="s">
        <v>38</v>
      </c>
      <c r="E6" s="2" t="s">
        <v>39</v>
      </c>
      <c r="F6" s="3" t="s">
        <v>40</v>
      </c>
      <c r="G6" s="2" t="s">
        <v>41</v>
      </c>
      <c r="H6" s="1" t="s">
        <v>17</v>
      </c>
      <c r="I6" s="2" t="s">
        <v>42</v>
      </c>
    </row>
    <row r="7" spans="1:9" ht="38.25" x14ac:dyDescent="0.2">
      <c r="A7" s="13"/>
      <c r="B7" s="14"/>
      <c r="C7" s="3" t="s">
        <v>43</v>
      </c>
      <c r="D7" s="2" t="s">
        <v>44</v>
      </c>
      <c r="E7" s="2" t="s">
        <v>45</v>
      </c>
      <c r="F7" s="3" t="s">
        <v>46</v>
      </c>
      <c r="G7" s="2" t="s">
        <v>47</v>
      </c>
      <c r="H7" s="1" t="s">
        <v>17</v>
      </c>
      <c r="I7" s="2" t="s">
        <v>48</v>
      </c>
    </row>
    <row r="8" spans="1:9" ht="38.1" customHeight="1" x14ac:dyDescent="0.2">
      <c r="A8" s="13"/>
      <c r="B8" s="14"/>
      <c r="C8" s="3" t="s">
        <v>49</v>
      </c>
      <c r="D8" s="2" t="s">
        <v>50</v>
      </c>
      <c r="E8" s="2" t="s">
        <v>51</v>
      </c>
      <c r="F8" s="3" t="s">
        <v>52</v>
      </c>
      <c r="G8" s="2" t="s">
        <v>53</v>
      </c>
      <c r="H8" s="1" t="s">
        <v>54</v>
      </c>
      <c r="I8" s="2" t="s">
        <v>55</v>
      </c>
    </row>
    <row r="9" spans="1:9" ht="38.25" x14ac:dyDescent="0.2">
      <c r="A9" s="13" t="s">
        <v>56</v>
      </c>
      <c r="B9" s="14" t="s">
        <v>57</v>
      </c>
      <c r="C9" s="3" t="s">
        <v>58</v>
      </c>
      <c r="D9" s="2" t="s">
        <v>59</v>
      </c>
      <c r="E9" s="2" t="s">
        <v>60</v>
      </c>
      <c r="F9" s="3">
        <f>100%</f>
        <v>1</v>
      </c>
      <c r="G9" s="2" t="s">
        <v>61</v>
      </c>
      <c r="H9" s="1" t="s">
        <v>62</v>
      </c>
      <c r="I9" s="2" t="s">
        <v>63</v>
      </c>
    </row>
    <row r="10" spans="1:9" ht="38.25" x14ac:dyDescent="0.2">
      <c r="A10" s="13"/>
      <c r="B10" s="14"/>
      <c r="C10" s="3" t="s">
        <v>64</v>
      </c>
      <c r="D10" s="2" t="s">
        <v>65</v>
      </c>
      <c r="E10" s="2" t="s">
        <v>66</v>
      </c>
      <c r="F10" s="3">
        <f>100%</f>
        <v>1</v>
      </c>
      <c r="G10" s="2" t="s">
        <v>67</v>
      </c>
      <c r="H10" s="1" t="s">
        <v>68</v>
      </c>
      <c r="I10" s="2" t="s">
        <v>69</v>
      </c>
    </row>
    <row r="11" spans="1:9" ht="38.25" x14ac:dyDescent="0.2">
      <c r="A11" s="13"/>
      <c r="B11" s="14"/>
      <c r="C11" s="3" t="s">
        <v>70</v>
      </c>
      <c r="D11" s="2" t="s">
        <v>71</v>
      </c>
      <c r="E11" s="2" t="s">
        <v>72</v>
      </c>
      <c r="F11" s="3" t="s">
        <v>73</v>
      </c>
      <c r="G11" s="2" t="s">
        <v>74</v>
      </c>
      <c r="H11" s="1" t="s">
        <v>75</v>
      </c>
      <c r="I11" s="2" t="s">
        <v>76</v>
      </c>
    </row>
    <row r="12" spans="1:9" ht="38.25" x14ac:dyDescent="0.2">
      <c r="A12" s="19"/>
      <c r="B12" s="20" t="s">
        <v>77</v>
      </c>
      <c r="C12" s="7" t="s">
        <v>78</v>
      </c>
      <c r="D12" s="6" t="s">
        <v>79</v>
      </c>
      <c r="E12" s="6" t="s">
        <v>80</v>
      </c>
      <c r="F12" s="7" t="s">
        <v>81</v>
      </c>
      <c r="G12" s="6" t="s">
        <v>82</v>
      </c>
      <c r="H12" s="8" t="s">
        <v>83</v>
      </c>
      <c r="I12" s="6" t="s">
        <v>84</v>
      </c>
    </row>
    <row r="13" spans="1:9" ht="51" x14ac:dyDescent="0.2">
      <c r="A13" s="13"/>
      <c r="B13" s="14"/>
      <c r="C13" s="3" t="s">
        <v>85</v>
      </c>
      <c r="D13" s="2" t="s">
        <v>86</v>
      </c>
      <c r="E13" s="2" t="s">
        <v>87</v>
      </c>
      <c r="F13" s="3" t="s">
        <v>88</v>
      </c>
      <c r="G13" s="2" t="s">
        <v>89</v>
      </c>
      <c r="H13" s="1" t="s">
        <v>90</v>
      </c>
      <c r="I13" s="2" t="s">
        <v>91</v>
      </c>
    </row>
    <row r="14" spans="1:9" ht="76.5" x14ac:dyDescent="0.2">
      <c r="A14" s="13"/>
      <c r="B14" s="14"/>
      <c r="C14" s="3" t="s">
        <v>92</v>
      </c>
      <c r="D14" s="2" t="s">
        <v>93</v>
      </c>
      <c r="E14" s="2" t="s">
        <v>94</v>
      </c>
      <c r="F14" s="3" t="s">
        <v>95</v>
      </c>
      <c r="G14" s="2" t="s">
        <v>96</v>
      </c>
      <c r="H14" s="1" t="s">
        <v>97</v>
      </c>
      <c r="I14" s="2" t="s">
        <v>98</v>
      </c>
    </row>
    <row r="15" spans="1:9" ht="165.75" x14ac:dyDescent="0.2">
      <c r="A15" s="13"/>
      <c r="B15" s="14"/>
      <c r="C15" s="3" t="s">
        <v>99</v>
      </c>
      <c r="D15" s="2" t="s">
        <v>100</v>
      </c>
      <c r="E15" s="2" t="s">
        <v>101</v>
      </c>
      <c r="F15" s="3" t="s">
        <v>0</v>
      </c>
      <c r="G15" s="2" t="s">
        <v>102</v>
      </c>
      <c r="H15" s="1" t="s">
        <v>17</v>
      </c>
      <c r="I15" s="2" t="s">
        <v>103</v>
      </c>
    </row>
    <row r="16" spans="1:9" ht="165.75" x14ac:dyDescent="0.2">
      <c r="A16" s="13"/>
      <c r="B16" s="1" t="s">
        <v>104</v>
      </c>
      <c r="C16" s="3" t="s">
        <v>105</v>
      </c>
      <c r="D16" s="2" t="s">
        <v>106</v>
      </c>
      <c r="E16" s="2" t="s">
        <v>107</v>
      </c>
      <c r="F16" s="3" t="s">
        <v>108</v>
      </c>
      <c r="G16" s="2" t="s">
        <v>102</v>
      </c>
      <c r="H16" s="1" t="s">
        <v>17</v>
      </c>
      <c r="I16" s="2" t="s">
        <v>109</v>
      </c>
    </row>
    <row r="17" spans="1:9" ht="153" x14ac:dyDescent="0.2">
      <c r="A17" s="13" t="s">
        <v>110</v>
      </c>
      <c r="B17" s="14" t="s">
        <v>111</v>
      </c>
      <c r="C17" s="3" t="s">
        <v>112</v>
      </c>
      <c r="D17" s="2" t="s">
        <v>113</v>
      </c>
      <c r="E17" s="2" t="s">
        <v>114</v>
      </c>
      <c r="F17" s="3" t="s">
        <v>115</v>
      </c>
      <c r="G17" s="2" t="s">
        <v>96</v>
      </c>
      <c r="H17" s="1" t="s">
        <v>17</v>
      </c>
      <c r="I17" s="2" t="s">
        <v>116</v>
      </c>
    </row>
    <row r="18" spans="1:9" ht="25.5" x14ac:dyDescent="0.2">
      <c r="A18" s="13"/>
      <c r="B18" s="14"/>
      <c r="C18" s="3" t="s">
        <v>117</v>
      </c>
      <c r="D18" s="2" t="s">
        <v>118</v>
      </c>
      <c r="E18" s="2" t="s">
        <v>119</v>
      </c>
      <c r="F18" s="3" t="s">
        <v>120</v>
      </c>
      <c r="G18" s="2" t="s">
        <v>121</v>
      </c>
      <c r="H18" s="1" t="s">
        <v>122</v>
      </c>
      <c r="I18" s="2" t="s">
        <v>123</v>
      </c>
    </row>
    <row r="19" spans="1:9" ht="76.5" x14ac:dyDescent="0.2">
      <c r="A19" s="13"/>
      <c r="B19" s="14"/>
      <c r="C19" s="3" t="s">
        <v>124</v>
      </c>
      <c r="D19" s="2" t="s">
        <v>125</v>
      </c>
      <c r="E19" s="2" t="s">
        <v>126</v>
      </c>
      <c r="F19" s="3" t="s">
        <v>127</v>
      </c>
      <c r="G19" s="2" t="s">
        <v>128</v>
      </c>
      <c r="H19" s="1" t="s">
        <v>129</v>
      </c>
      <c r="I19" s="2" t="s">
        <v>130</v>
      </c>
    </row>
    <row r="20" spans="1:9" ht="114.75" x14ac:dyDescent="0.2">
      <c r="A20" s="13"/>
      <c r="B20" s="14" t="s">
        <v>131</v>
      </c>
      <c r="C20" s="3" t="s">
        <v>132</v>
      </c>
      <c r="D20" s="2" t="s">
        <v>133</v>
      </c>
      <c r="E20" s="2" t="s">
        <v>134</v>
      </c>
      <c r="F20" s="3" t="s">
        <v>135</v>
      </c>
      <c r="G20" s="2" t="s">
        <v>136</v>
      </c>
      <c r="H20" s="1" t="s">
        <v>137</v>
      </c>
      <c r="I20" s="2" t="s">
        <v>138</v>
      </c>
    </row>
    <row r="21" spans="1:9" ht="89.25" x14ac:dyDescent="0.2">
      <c r="A21" s="16"/>
      <c r="B21" s="15"/>
      <c r="C21" s="9" t="s">
        <v>139</v>
      </c>
      <c r="D21" s="9" t="s">
        <v>140</v>
      </c>
      <c r="E21" s="9" t="s">
        <v>141</v>
      </c>
      <c r="F21" s="9" t="s">
        <v>142</v>
      </c>
      <c r="G21" s="9" t="s">
        <v>143</v>
      </c>
      <c r="H21" s="10" t="s">
        <v>144</v>
      </c>
      <c r="I21" s="9" t="s">
        <v>145</v>
      </c>
    </row>
    <row r="22" spans="1:9" ht="89.25" x14ac:dyDescent="0.2">
      <c r="A22" s="13"/>
      <c r="B22" s="14"/>
      <c r="C22" s="3" t="s">
        <v>146</v>
      </c>
      <c r="D22" s="2" t="s">
        <v>147</v>
      </c>
      <c r="E22" s="2" t="s">
        <v>148</v>
      </c>
      <c r="F22" s="3" t="s">
        <v>149</v>
      </c>
      <c r="G22" s="2" t="s">
        <v>150</v>
      </c>
      <c r="H22" s="1" t="s">
        <v>129</v>
      </c>
      <c r="I22" s="2" t="s">
        <v>151</v>
      </c>
    </row>
    <row r="23" spans="1:9" ht="127.5" x14ac:dyDescent="0.2">
      <c r="A23" s="13" t="s">
        <v>152</v>
      </c>
      <c r="B23" s="14" t="s">
        <v>153</v>
      </c>
      <c r="C23" s="3" t="s">
        <v>153</v>
      </c>
      <c r="D23" s="2" t="s">
        <v>154</v>
      </c>
      <c r="E23" s="2" t="s">
        <v>155</v>
      </c>
      <c r="F23" s="3" t="s">
        <v>156</v>
      </c>
      <c r="G23" s="2" t="s">
        <v>155</v>
      </c>
      <c r="H23" s="1" t="s">
        <v>17</v>
      </c>
      <c r="I23" s="2" t="s">
        <v>157</v>
      </c>
    </row>
    <row r="24" spans="1:9" ht="51" x14ac:dyDescent="0.2">
      <c r="A24" s="13"/>
      <c r="B24" s="14"/>
      <c r="C24" s="3" t="s">
        <v>158</v>
      </c>
      <c r="D24" s="2" t="s">
        <v>159</v>
      </c>
      <c r="E24" s="2" t="s">
        <v>160</v>
      </c>
      <c r="F24" s="3" t="s">
        <v>161</v>
      </c>
      <c r="G24" s="2" t="s">
        <v>155</v>
      </c>
      <c r="H24" s="1" t="s">
        <v>162</v>
      </c>
      <c r="I24" s="2" t="s">
        <v>163</v>
      </c>
    </row>
    <row r="25" spans="1:9" ht="25.5" x14ac:dyDescent="0.2">
      <c r="A25" s="13" t="s">
        <v>164</v>
      </c>
      <c r="B25" s="14" t="s">
        <v>162</v>
      </c>
      <c r="C25" s="3" t="s">
        <v>165</v>
      </c>
      <c r="D25" s="2" t="s">
        <v>166</v>
      </c>
      <c r="E25" s="2" t="s">
        <v>167</v>
      </c>
      <c r="F25" s="3" t="s">
        <v>168</v>
      </c>
      <c r="G25" s="2" t="s">
        <v>169</v>
      </c>
      <c r="H25" s="1" t="s">
        <v>162</v>
      </c>
      <c r="I25" s="2" t="s">
        <v>170</v>
      </c>
    </row>
    <row r="26" spans="1:9" ht="51" x14ac:dyDescent="0.2">
      <c r="A26" s="13"/>
      <c r="B26" s="14"/>
      <c r="C26" s="3" t="s">
        <v>171</v>
      </c>
      <c r="D26" s="2" t="s">
        <v>172</v>
      </c>
      <c r="E26" s="2" t="s">
        <v>173</v>
      </c>
      <c r="F26" s="3" t="s">
        <v>174</v>
      </c>
      <c r="G26" s="2" t="s">
        <v>175</v>
      </c>
      <c r="H26" s="1" t="s">
        <v>162</v>
      </c>
      <c r="I26" s="2" t="s">
        <v>176</v>
      </c>
    </row>
    <row r="27" spans="1:9" ht="80.099999999999994" customHeight="1" x14ac:dyDescent="0.2">
      <c r="A27" s="13"/>
      <c r="B27" s="1" t="s">
        <v>177</v>
      </c>
      <c r="C27" s="3" t="s">
        <v>178</v>
      </c>
      <c r="D27" s="2" t="s">
        <v>179</v>
      </c>
      <c r="E27" s="2" t="s">
        <v>180</v>
      </c>
      <c r="F27" s="3" t="s">
        <v>181</v>
      </c>
      <c r="G27" s="2" t="s">
        <v>182</v>
      </c>
      <c r="H27" s="1" t="s">
        <v>177</v>
      </c>
      <c r="I27" s="2" t="s">
        <v>183</v>
      </c>
    </row>
    <row r="28" spans="1:9" ht="38.25" x14ac:dyDescent="0.2">
      <c r="A28" s="13" t="s">
        <v>7</v>
      </c>
      <c r="B28" s="14" t="s">
        <v>184</v>
      </c>
      <c r="C28" s="3" t="s">
        <v>185</v>
      </c>
      <c r="D28" s="2" t="s">
        <v>186</v>
      </c>
      <c r="E28" s="2" t="s">
        <v>187</v>
      </c>
      <c r="F28" s="3" t="s">
        <v>188</v>
      </c>
      <c r="G28" s="2" t="s">
        <v>189</v>
      </c>
      <c r="H28" s="1" t="s">
        <v>17</v>
      </c>
      <c r="I28" s="2" t="s">
        <v>190</v>
      </c>
    </row>
    <row r="29" spans="1:9" ht="25.5" x14ac:dyDescent="0.2">
      <c r="A29" s="13"/>
      <c r="B29" s="14"/>
      <c r="C29" s="3" t="s">
        <v>191</v>
      </c>
      <c r="D29" s="2" t="s">
        <v>192</v>
      </c>
      <c r="E29" s="2" t="s">
        <v>193</v>
      </c>
      <c r="F29" s="3" t="s">
        <v>194</v>
      </c>
      <c r="G29" s="2" t="s">
        <v>195</v>
      </c>
      <c r="H29" s="1" t="s">
        <v>196</v>
      </c>
      <c r="I29" s="2" t="s">
        <v>197</v>
      </c>
    </row>
    <row r="30" spans="1:9" ht="38.25" x14ac:dyDescent="0.2">
      <c r="A30" s="13"/>
      <c r="B30" s="14"/>
      <c r="C30" s="3" t="s">
        <v>198</v>
      </c>
      <c r="D30" s="2" t="s">
        <v>199</v>
      </c>
      <c r="E30" s="2" t="s">
        <v>200</v>
      </c>
      <c r="F30" s="3" t="s">
        <v>201</v>
      </c>
      <c r="G30" s="2" t="s">
        <v>17</v>
      </c>
      <c r="H30" s="1" t="s">
        <v>202</v>
      </c>
      <c r="I30" s="2"/>
    </row>
    <row r="31" spans="1:9" ht="38.25" x14ac:dyDescent="0.2">
      <c r="A31" s="13"/>
      <c r="B31" s="14"/>
      <c r="C31" s="3" t="s">
        <v>203</v>
      </c>
      <c r="D31" s="2" t="s">
        <v>204</v>
      </c>
      <c r="E31" s="2" t="s">
        <v>205</v>
      </c>
      <c r="F31" s="3" t="s">
        <v>206</v>
      </c>
      <c r="G31" s="2" t="s">
        <v>96</v>
      </c>
      <c r="H31" s="1" t="s">
        <v>207</v>
      </c>
      <c r="I31" s="2" t="s">
        <v>208</v>
      </c>
    </row>
  </sheetData>
  <mergeCells count="15">
    <mergeCell ref="B20:B22"/>
    <mergeCell ref="B17:B19"/>
    <mergeCell ref="A17:A22"/>
    <mergeCell ref="B5:B8"/>
    <mergeCell ref="B2:B4"/>
    <mergeCell ref="A2:A8"/>
    <mergeCell ref="A9:A16"/>
    <mergeCell ref="B12:B15"/>
    <mergeCell ref="B9:B11"/>
    <mergeCell ref="A25:A27"/>
    <mergeCell ref="B28:B31"/>
    <mergeCell ref="A28:A31"/>
    <mergeCell ref="B25:B26"/>
    <mergeCell ref="A23:A24"/>
    <mergeCell ref="B23:B24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9jGkdo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朱海波</dc:creator>
  <cp:lastModifiedBy>朱海波</cp:lastModifiedBy>
  <dcterms:created xsi:type="dcterms:W3CDTF">2026-04-15T08:40:02Z</dcterms:created>
  <dcterms:modified xsi:type="dcterms:W3CDTF">2026-04-15T08:40:02Z</dcterms:modified>
</cp:coreProperties>
</file>